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Suivi" sheetId="2" state="visible" r:id="rId2"/>
    <sheet name="Périmètre et risques" sheetId="3" state="visible" r:id="rId3"/>
    <sheet name="Stack" sheetId="4" state="visible" r:id="rId4"/>
  </sheets>
  <definedNames>
    <definedName name="_xlnm._FilterDatabase" localSheetId="0" hidden="1">'Roadmap'!$A$4:$L$53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/mm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E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9" fontId="4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166" fontId="5" fillId="4" borderId="1" applyAlignment="1" pivotButton="0" quotePrefix="0" xfId="0">
      <alignment horizontal="center" vertical="top" wrapText="1"/>
    </xf>
    <xf numFmtId="9" fontId="5" fillId="4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C7CE"/>
        </patternFill>
      </fill>
    </dxf>
    <dxf>
      <font>
        <name val="Arial"/>
        <strike val="1"/>
        <color rgb="006B7280"/>
      </font>
    </dxf>
    <dxf>
      <font>
        <name val="Arial"/>
        <b val="1"/>
        <color rgb="00C00000"/>
      </font>
    </dxf>
    <dxf>
      <font>
        <name val="Arial"/>
        <b val="1"/>
        <color rgb="00C65911"/>
      </font>
    </dxf>
    <dxf>
      <font>
        <name val="Arial"/>
        <b val="1"/>
        <color rgb="0054823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8" customWidth="1" min="4" max="4"/>
    <col width="14" customWidth="1" min="5" max="5"/>
    <col width="52" customWidth="1" min="6" max="6"/>
    <col width="46" customWidth="1" min="7" max="7"/>
    <col width="36" customWidth="1" min="8" max="8"/>
    <col width="9" customWidth="1" min="9" max="9"/>
    <col width="11" customWidth="1" min="10" max="10"/>
    <col width="12" customWidth="1" min="11" max="11"/>
    <col width="28" customWidth="1" min="12" max="12"/>
  </cols>
  <sheetData>
    <row r="1">
      <c r="A1" s="1" t="inlineStr">
        <is>
          <t>DROPP — Roadmap frontend Flutter (semaine du 19 au 25 octobre 2026)</t>
        </is>
      </c>
    </row>
    <row r="2">
      <c r="A2" s="2" t="inlineStr">
        <is>
          <t>Légende : seules les colonnes jaunes (Statut, Notes) sont à remplir. Dev A = socle, fil, interactions, messagerie, KYC, publications. Dev B = design, auth, catalogue, achat, profil, boutique/produits, ventes, push.</t>
        </is>
      </c>
    </row>
    <row r="4" ht="30" customHeight="1">
      <c r="A4" s="3" t="inlineStr">
        <is>
          <t>ID</t>
        </is>
      </c>
      <c r="B4" s="3" t="inlineStr">
        <is>
          <t>Jour</t>
        </is>
      </c>
      <c r="C4" s="3" t="inlineStr">
        <is>
          <t>Date</t>
        </is>
      </c>
      <c r="D4" s="3" t="inlineStr">
        <is>
          <t>Dev</t>
        </is>
      </c>
      <c r="E4" s="3" t="inlineStr">
        <is>
          <t>Module</t>
        </is>
      </c>
      <c r="F4" s="3" t="inlineStr">
        <is>
          <t>Tâche</t>
        </is>
      </c>
      <c r="G4" s="3" t="inlineStr">
        <is>
          <t>Routes API</t>
        </is>
      </c>
      <c r="H4" s="3" t="inlineStr">
        <is>
          <t>Critère de fin</t>
        </is>
      </c>
      <c r="I4" s="3" t="inlineStr">
        <is>
          <t>Priorité</t>
        </is>
      </c>
      <c r="J4" s="3" t="inlineStr">
        <is>
          <t>Estimation (h)</t>
        </is>
      </c>
      <c r="K4" s="3" t="inlineStr">
        <is>
          <t>Statut</t>
        </is>
      </c>
      <c r="L4" s="3" t="inlineStr">
        <is>
          <t>Notes</t>
        </is>
      </c>
    </row>
    <row r="5">
      <c r="A5" s="4" t="inlineStr">
        <is>
          <t>T01</t>
        </is>
      </c>
      <c r="B5" s="4" t="inlineStr">
        <is>
          <t>J0</t>
        </is>
      </c>
      <c r="C5" s="5" t="n">
        <v>46313</v>
      </c>
      <c r="D5" s="4" t="inlineStr">
        <is>
          <t>A + B</t>
        </is>
      </c>
      <c r="E5" s="6" t="inlineStr">
        <is>
          <t>Environnement</t>
        </is>
      </c>
      <c r="F5" s="6" t="inlineStr">
        <is>
          <t>Installer Flutter (stable), extensions VS Code Flutter/Dart, flutter doctor + licences Android</t>
        </is>
      </c>
      <c r="G5" s="6" t="inlineStr">
        <is>
          <t>—</t>
        </is>
      </c>
      <c r="H5" s="6" t="inlineStr">
        <is>
          <t>flutter doctor sans erreur bloquante</t>
        </is>
      </c>
      <c r="I5" s="4" t="inlineStr">
        <is>
          <t>P0</t>
        </is>
      </c>
      <c r="J5" s="7" t="n">
        <v>1.5</v>
      </c>
      <c r="K5" s="8" t="inlineStr">
        <is>
          <t>À faire</t>
        </is>
      </c>
      <c r="L5" s="9" t="n"/>
    </row>
    <row r="6">
      <c r="A6" s="4" t="inlineStr">
        <is>
          <t>T02</t>
        </is>
      </c>
      <c r="B6" s="4" t="inlineStr">
        <is>
          <t>J0</t>
        </is>
      </c>
      <c r="C6" s="5" t="n">
        <v>46313</v>
      </c>
      <c r="D6" s="4" t="inlineStr">
        <is>
          <t>A + B</t>
        </is>
      </c>
      <c r="E6" s="6" t="inlineStr">
        <is>
          <t>Environnement</t>
        </is>
      </c>
      <c r="F6" s="6" t="inlineStr">
        <is>
          <t>Créer un émulateur Android (ou téléphone en débogage USB), lancer l'app de base</t>
        </is>
      </c>
      <c r="G6" s="6" t="inlineStr">
        <is>
          <t>—</t>
        </is>
      </c>
      <c r="H6" s="6" t="inlineStr">
        <is>
          <t>flutter run affiche l'app sur l'émulateur</t>
        </is>
      </c>
      <c r="I6" s="4" t="inlineStr">
        <is>
          <t>P0</t>
        </is>
      </c>
      <c r="J6" s="7" t="n">
        <v>0.5</v>
      </c>
      <c r="K6" s="8" t="inlineStr">
        <is>
          <t>À faire</t>
        </is>
      </c>
      <c r="L6" s="9" t="n"/>
    </row>
    <row r="7">
      <c r="A7" s="4" t="inlineStr">
        <is>
          <t>T03</t>
        </is>
      </c>
      <c r="B7" s="4" t="inlineStr">
        <is>
          <t>J0</t>
        </is>
      </c>
      <c r="C7" s="5" t="n">
        <v>46313</v>
      </c>
      <c r="D7" s="4" t="inlineStr">
        <is>
          <t>A + B</t>
        </is>
      </c>
      <c r="E7" s="6" t="inlineStr">
        <is>
          <t>Environnement</t>
        </is>
      </c>
      <c r="F7" s="6" t="inlineStr">
        <is>
          <t>Lancer le backend en local (docker compose, .env, migrations, seed admin) et ouvrir /docs</t>
        </is>
      </c>
      <c r="G7" s="6" t="inlineStr">
        <is>
          <t>GET /sante, /docs</t>
        </is>
      </c>
      <c r="H7" s="6" t="inlineStr">
        <is>
          <t>API joignable depuis l'émulateur via http://10.0.2.2:&lt;PORT&gt;/v1</t>
        </is>
      </c>
      <c r="I7" s="4" t="inlineStr">
        <is>
          <t>P0</t>
        </is>
      </c>
      <c r="J7" s="7" t="n">
        <v>1</v>
      </c>
      <c r="K7" s="8" t="inlineStr">
        <is>
          <t>À faire</t>
        </is>
      </c>
      <c r="L7" s="9" t="n"/>
    </row>
    <row r="8">
      <c r="A8" s="4" t="inlineStr">
        <is>
          <t>T04</t>
        </is>
      </c>
      <c r="B8" s="4" t="inlineStr">
        <is>
          <t>J0</t>
        </is>
      </c>
      <c r="C8" s="5" t="n">
        <v>46313</v>
      </c>
      <c r="D8" s="4" t="inlineStr">
        <is>
          <t>A + B</t>
        </is>
      </c>
      <c r="E8" s="6" t="inlineStr">
        <is>
          <t>Organisation</t>
        </is>
      </c>
      <c r="F8" s="6" t="inlineStr">
        <is>
          <t>Fixer les conventions : branches (feature/&lt;module&gt; depuis dev), PR croisées, lint, structure core/ + features/</t>
        </is>
      </c>
      <c r="G8" s="6" t="inlineStr">
        <is>
          <t>—</t>
        </is>
      </c>
      <c r="H8" s="6" t="inlineStr">
        <is>
          <t>Conventions écrites dans apps/mobile/README.md</t>
        </is>
      </c>
      <c r="I8" s="4" t="inlineStr">
        <is>
          <t>P0</t>
        </is>
      </c>
      <c r="J8" s="7" t="n">
        <v>0.5</v>
      </c>
      <c r="K8" s="8" t="inlineStr">
        <is>
          <t>À faire</t>
        </is>
      </c>
      <c r="L8" s="9" t="n"/>
    </row>
    <row r="9">
      <c r="A9" s="4" t="inlineStr">
        <is>
          <t>T05</t>
        </is>
      </c>
      <c r="B9" s="4" t="inlineStr">
        <is>
          <t>J0</t>
        </is>
      </c>
      <c r="C9" s="5" t="n">
        <v>46313</v>
      </c>
      <c r="D9" s="4" t="inlineStr">
        <is>
          <t>Dev A</t>
        </is>
      </c>
      <c r="E9" s="6" t="inlineStr">
        <is>
          <t>Organisation</t>
        </is>
      </c>
      <c r="F9" s="6" t="inlineStr">
        <is>
          <t>Créer le projet Firebase (Android) et récupérer google-services.json</t>
        </is>
      </c>
      <c r="G9" s="6" t="inlineStr">
        <is>
          <t>—</t>
        </is>
      </c>
      <c r="H9" s="6" t="inlineStr">
        <is>
          <t>Projet Firebase prêt pour le push de J6</t>
        </is>
      </c>
      <c r="I9" s="4" t="inlineStr">
        <is>
          <t>P1</t>
        </is>
      </c>
      <c r="J9" s="7" t="n">
        <v>0.5</v>
      </c>
      <c r="K9" s="8" t="inlineStr">
        <is>
          <t>À faire</t>
        </is>
      </c>
      <c r="L9" s="9" t="n"/>
    </row>
    <row r="10">
      <c r="A10" s="4" t="inlineStr">
        <is>
          <t>T06</t>
        </is>
      </c>
      <c r="B10" s="4" t="inlineStr">
        <is>
          <t>J1</t>
        </is>
      </c>
      <c r="C10" s="5" t="n">
        <v>46314</v>
      </c>
      <c r="D10" s="4" t="inlineStr">
        <is>
          <t>Dev A</t>
        </is>
      </c>
      <c r="E10" s="6" t="inlineStr">
        <is>
          <t>Socle</t>
        </is>
      </c>
      <c r="F10" s="6" t="inlineStr">
        <is>
          <t>Ajouter les dépendances (riverpod, go_router, dio, freezed, json_serializable, flutter_secure_storage) + build_runner</t>
        </is>
      </c>
      <c r="G10" s="6" t="inlineStr">
        <is>
          <t>—</t>
        </is>
      </c>
      <c r="H10" s="6" t="inlineStr">
        <is>
          <t>flutter pub get + build_runner OK</t>
        </is>
      </c>
      <c r="I10" s="4" t="inlineStr">
        <is>
          <t>P0</t>
        </is>
      </c>
      <c r="J10" s="7" t="n">
        <v>1</v>
      </c>
      <c r="K10" s="8" t="inlineStr">
        <is>
          <t>À faire</t>
        </is>
      </c>
      <c r="L10" s="9" t="n"/>
    </row>
    <row r="11">
      <c r="A11" s="4" t="inlineStr">
        <is>
          <t>T07</t>
        </is>
      </c>
      <c r="B11" s="4" t="inlineStr">
        <is>
          <t>J1</t>
        </is>
      </c>
      <c r="C11" s="5" t="n">
        <v>46314</v>
      </c>
      <c r="D11" s="4" t="inlineStr">
        <is>
          <t>Dev A</t>
        </is>
      </c>
      <c r="E11" s="6" t="inlineStr">
        <is>
          <t>Socle</t>
        </is>
      </c>
      <c r="F11" s="6" t="inlineStr">
        <is>
          <t>Client dio : préfixe /v1, Bearer, intercepteur refresh sur 401, en-tête Idempotency-Key, mapping des erreurs {statusCode, message}</t>
        </is>
      </c>
      <c r="G11" s="6" t="inlineStr">
        <is>
          <t>POST /auth/refresh</t>
        </is>
      </c>
      <c r="H11" s="6" t="inlineStr">
        <is>
          <t>Un 401 renouvelle le jeton et rejoue la requête</t>
        </is>
      </c>
      <c r="I11" s="4" t="inlineStr">
        <is>
          <t>P0</t>
        </is>
      </c>
      <c r="J11" s="7" t="n">
        <v>3</v>
      </c>
      <c r="K11" s="8" t="inlineStr">
        <is>
          <t>À faire</t>
        </is>
      </c>
      <c r="L11" s="9" t="n"/>
    </row>
    <row r="12">
      <c r="A12" s="4" t="inlineStr">
        <is>
          <t>T08</t>
        </is>
      </c>
      <c r="B12" s="4" t="inlineStr">
        <is>
          <t>J1</t>
        </is>
      </c>
      <c r="C12" s="5" t="n">
        <v>46314</v>
      </c>
      <c r="D12" s="4" t="inlineStr">
        <is>
          <t>Dev A</t>
        </is>
      </c>
      <c r="E12" s="6" t="inlineStr">
        <is>
          <t>Socle</t>
        </is>
      </c>
      <c r="F12" s="6" t="inlineStr">
        <is>
          <t>Stockage sécurisé des jetons + provider de session (connecté, vendeur, téléphone vérifié)</t>
        </is>
      </c>
      <c r="G12" s="6" t="inlineStr">
        <is>
          <t>GET /auth/me</t>
        </is>
      </c>
      <c r="H12" s="6" t="inlineStr">
        <is>
          <t>La session survit au redémarrage</t>
        </is>
      </c>
      <c r="I12" s="4" t="inlineStr">
        <is>
          <t>P0</t>
        </is>
      </c>
      <c r="J12" s="7" t="n">
        <v>1.5</v>
      </c>
      <c r="K12" s="8" t="inlineStr">
        <is>
          <t>À faire</t>
        </is>
      </c>
      <c r="L12" s="9" t="n"/>
    </row>
    <row r="13">
      <c r="A13" s="4" t="inlineStr">
        <is>
          <t>T09</t>
        </is>
      </c>
      <c r="B13" s="4" t="inlineStr">
        <is>
          <t>J1</t>
        </is>
      </c>
      <c r="C13" s="5" t="n">
        <v>46314</v>
      </c>
      <c r="D13" s="4" t="inlineStr">
        <is>
          <t>Dev A</t>
        </is>
      </c>
      <c r="E13" s="6" t="inlineStr">
        <is>
          <t>Socle</t>
        </is>
      </c>
      <c r="F13" s="6" t="inlineStr">
        <is>
          <t>go_router + redirections (non connecté, téléphone non vérifié, vendeur) + barre de navigation</t>
        </is>
      </c>
      <c r="G13" s="6" t="inlineStr">
        <is>
          <t>—</t>
        </is>
      </c>
      <c r="H13" s="6" t="inlineStr">
        <is>
          <t>Les routes protégées redirigent correctement</t>
        </is>
      </c>
      <c r="I13" s="4" t="inlineStr">
        <is>
          <t>P0</t>
        </is>
      </c>
      <c r="J13" s="7" t="n">
        <v>1.5</v>
      </c>
      <c r="K13" s="8" t="inlineStr">
        <is>
          <t>À faire</t>
        </is>
      </c>
      <c r="L13" s="9" t="n"/>
    </row>
    <row r="14">
      <c r="A14" s="4" t="inlineStr">
        <is>
          <t>T10</t>
        </is>
      </c>
      <c r="B14" s="4" t="inlineStr">
        <is>
          <t>J1</t>
        </is>
      </c>
      <c r="C14" s="5" t="n">
        <v>46314</v>
      </c>
      <c r="D14" s="4" t="inlineStr">
        <is>
          <t>Dev A</t>
        </is>
      </c>
      <c r="E14" s="6" t="inlineStr">
        <is>
          <t>Socle</t>
        </is>
      </c>
      <c r="F14" s="6" t="inlineStr">
        <is>
          <t>Modèle Page&lt;T&gt; (donnees + pagination) + widget liste paginée infinie réutilisable</t>
        </is>
      </c>
      <c r="G14" s="6" t="inlineStr">
        <is>
          <t>Toutes les listes paginées</t>
        </is>
      </c>
      <c r="H14" s="6" t="inlineStr">
        <is>
          <t>Widget utilisé par toutes les listes</t>
        </is>
      </c>
      <c r="I14" s="4" t="inlineStr">
        <is>
          <t>P0</t>
        </is>
      </c>
      <c r="J14" s="7" t="n">
        <v>1</v>
      </c>
      <c r="K14" s="8" t="inlineStr">
        <is>
          <t>À faire</t>
        </is>
      </c>
      <c r="L14" s="9" t="n"/>
    </row>
    <row r="15">
      <c r="A15" s="4" t="inlineStr">
        <is>
          <t>T11</t>
        </is>
      </c>
      <c r="B15" s="4" t="inlineStr">
        <is>
          <t>J1</t>
        </is>
      </c>
      <c r="C15" s="5" t="n">
        <v>46314</v>
      </c>
      <c r="D15" s="4" t="inlineStr">
        <is>
          <t>Dev B</t>
        </is>
      </c>
      <c r="E15" s="6" t="inlineStr">
        <is>
          <t>Design</t>
        </is>
      </c>
      <c r="F15" s="6" t="inlineStr">
        <is>
          <t>Thème (couleurs, typo), composants : bouton, champ, état vide, état erreur, chargement, snackbar</t>
        </is>
      </c>
      <c r="G15" s="6" t="inlineStr">
        <is>
          <t>—</t>
        </is>
      </c>
      <c r="H15" s="6" t="inlineStr">
        <is>
          <t>Kit de composants partagé dans core/ui</t>
        </is>
      </c>
      <c r="I15" s="4" t="inlineStr">
        <is>
          <t>P0</t>
        </is>
      </c>
      <c r="J15" s="7" t="n">
        <v>3</v>
      </c>
      <c r="K15" s="8" t="inlineStr">
        <is>
          <t>À faire</t>
        </is>
      </c>
      <c r="L15" s="9" t="n"/>
    </row>
    <row r="16">
      <c r="A16" s="4" t="inlineStr">
        <is>
          <t>T12</t>
        </is>
      </c>
      <c r="B16" s="4" t="inlineStr">
        <is>
          <t>J1</t>
        </is>
      </c>
      <c r="C16" s="5" t="n">
        <v>46314</v>
      </c>
      <c r="D16" s="4" t="inlineStr">
        <is>
          <t>Dev B</t>
        </is>
      </c>
      <c r="E16" s="6" t="inlineStr">
        <is>
          <t>Auth</t>
        </is>
      </c>
      <c r="F16" s="6" t="inlineStr">
        <is>
          <t>Écran inscription + écran code SMS (vérifier, renvoyer avec compte à rebours)</t>
        </is>
      </c>
      <c r="G16" s="6" t="inlineStr">
        <is>
          <t>POST /auth/inscription, /auth/verifier-telephone, /auth/renvoyer-code</t>
        </is>
      </c>
      <c r="H16" s="6" t="inlineStr">
        <is>
          <t>Inscription complète jusqu'au compte vérifié</t>
        </is>
      </c>
      <c r="I16" s="4" t="inlineStr">
        <is>
          <t>P0</t>
        </is>
      </c>
      <c r="J16" s="7" t="n">
        <v>2.5</v>
      </c>
      <c r="K16" s="8" t="inlineStr">
        <is>
          <t>À faire</t>
        </is>
      </c>
      <c r="L16" s="9" t="n"/>
    </row>
    <row r="17">
      <c r="A17" s="4" t="inlineStr">
        <is>
          <t>T13</t>
        </is>
      </c>
      <c r="B17" s="4" t="inlineStr">
        <is>
          <t>J1</t>
        </is>
      </c>
      <c r="C17" s="5" t="n">
        <v>46314</v>
      </c>
      <c r="D17" s="4" t="inlineStr">
        <is>
          <t>Dev B</t>
        </is>
      </c>
      <c r="E17" s="6" t="inlineStr">
        <is>
          <t>Auth</t>
        </is>
      </c>
      <c r="F17" s="6" t="inlineStr">
        <is>
          <t>Écrans connexion, mot de passe oublié, réinitialisation ; déconnexion</t>
        </is>
      </c>
      <c r="G17" s="6" t="inlineStr">
        <is>
          <t>POST /auth/connexion, /auth/mot-de-passe-oublie, /auth/reinitialiser-mot-de-passe, /auth/deconnexion</t>
        </is>
      </c>
      <c r="H17" s="6" t="inlineStr">
        <is>
          <t>Connexion / déconnexion fonctionnelles</t>
        </is>
      </c>
      <c r="I17" s="4" t="inlineStr">
        <is>
          <t>P0</t>
        </is>
      </c>
      <c r="J17" s="7" t="n">
        <v>2.5</v>
      </c>
      <c r="K17" s="8" t="inlineStr">
        <is>
          <t>À faire</t>
        </is>
      </c>
      <c r="L17" s="9" t="n"/>
    </row>
    <row r="18">
      <c r="A18" s="4" t="inlineStr">
        <is>
          <t>T14</t>
        </is>
      </c>
      <c r="B18" s="4" t="inlineStr">
        <is>
          <t>J2</t>
        </is>
      </c>
      <c r="C18" s="5" t="n">
        <v>46315</v>
      </c>
      <c r="D18" s="4" t="inlineStr">
        <is>
          <t>Dev A</t>
        </is>
      </c>
      <c r="E18" s="6" t="inlineStr">
        <is>
          <t>Fil</t>
        </is>
      </c>
      <c r="F18" s="6" t="inlineStr">
        <is>
          <t>Accueil : fil public + onglet abonnements, comptage des vues à l'affichage</t>
        </is>
      </c>
      <c r="G18" s="6" t="inlineStr">
        <is>
          <t>GET /publications, /publications/fil/abonnements, POST /publications/:id/vue</t>
        </is>
      </c>
      <c r="H18" s="6" t="inlineStr">
        <is>
          <t>Scroll infini sur les deux fils</t>
        </is>
      </c>
      <c r="I18" s="4" t="inlineStr">
        <is>
          <t>P0</t>
        </is>
      </c>
      <c r="J18" s="7" t="n">
        <v>3</v>
      </c>
      <c r="K18" s="8" t="inlineStr">
        <is>
          <t>À faire</t>
        </is>
      </c>
      <c r="L18" s="9" t="n"/>
    </row>
    <row r="19">
      <c r="A19" s="4" t="inlineStr">
        <is>
          <t>T15</t>
        </is>
      </c>
      <c r="B19" s="4" t="inlineStr">
        <is>
          <t>J2</t>
        </is>
      </c>
      <c r="C19" s="5" t="n">
        <v>46315</v>
      </c>
      <c r="D19" s="4" t="inlineStr">
        <is>
          <t>Dev A</t>
        </is>
      </c>
      <c r="E19" s="6" t="inlineStr">
        <is>
          <t>Fil</t>
        </is>
      </c>
      <c r="F19" s="6" t="inlineStr">
        <is>
          <t>Détail d'une publication (médias, produits liés, compteurs)</t>
        </is>
      </c>
      <c r="G19" s="6" t="inlineStr">
        <is>
          <t>GET /publications/:id</t>
        </is>
      </c>
      <c r="H19" s="6" t="inlineStr">
        <is>
          <t>Ouverture depuis le fil</t>
        </is>
      </c>
      <c r="I19" s="4" t="inlineStr">
        <is>
          <t>P0</t>
        </is>
      </c>
      <c r="J19" s="7" t="n">
        <v>1.5</v>
      </c>
      <c r="K19" s="8" t="inlineStr">
        <is>
          <t>À faire</t>
        </is>
      </c>
      <c r="L19" s="9" t="n"/>
    </row>
    <row r="20">
      <c r="A20" s="4" t="inlineStr">
        <is>
          <t>T16</t>
        </is>
      </c>
      <c r="B20" s="4" t="inlineStr">
        <is>
          <t>J2</t>
        </is>
      </c>
      <c r="C20" s="5" t="n">
        <v>46315</v>
      </c>
      <c r="D20" s="4" t="inlineStr">
        <is>
          <t>Dev A</t>
        </is>
      </c>
      <c r="E20" s="6" t="inlineStr">
        <is>
          <t>Stories</t>
        </is>
      </c>
      <c r="F20" s="6" t="inlineStr">
        <is>
          <t>Barre de stories (abonnements, non vues d'abord) + lecteur plein écran, marquer comme vue</t>
        </is>
      </c>
      <c r="G20" s="6" t="inlineStr">
        <is>
          <t>GET /stories, /stories/abonnements, POST /stories/:id/vue</t>
        </is>
      </c>
      <c r="H20" s="6" t="inlineStr">
        <is>
          <t>Lecture enchaînée des stories</t>
        </is>
      </c>
      <c r="I20" s="4" t="inlineStr">
        <is>
          <t>P1</t>
        </is>
      </c>
      <c r="J20" s="7" t="n">
        <v>3</v>
      </c>
      <c r="K20" s="8" t="inlineStr">
        <is>
          <t>À faire</t>
        </is>
      </c>
      <c r="L20" s="9" t="n"/>
    </row>
    <row r="21">
      <c r="A21" s="4" t="inlineStr">
        <is>
          <t>T17</t>
        </is>
      </c>
      <c r="B21" s="4" t="inlineStr">
        <is>
          <t>J2</t>
        </is>
      </c>
      <c r="C21" s="5" t="n">
        <v>46315</v>
      </c>
      <c r="D21" s="4" t="inlineStr">
        <is>
          <t>Dev B</t>
        </is>
      </c>
      <c r="E21" s="6" t="inlineStr">
        <is>
          <t>Catalogue</t>
        </is>
      </c>
      <c r="F21" s="6" t="inlineStr">
        <is>
          <t>Catalogue : recherche q, filtres catégorie/prix/stock, tri, pagination</t>
        </is>
      </c>
      <c r="G21" s="6" t="inlineStr">
        <is>
          <t>GET /produits, /categories</t>
        </is>
      </c>
      <c r="H21" s="6" t="inlineStr">
        <is>
          <t>Recherche et filtres combinables</t>
        </is>
      </c>
      <c r="I21" s="4" t="inlineStr">
        <is>
          <t>P0</t>
        </is>
      </c>
      <c r="J21" s="7" t="n">
        <v>3</v>
      </c>
      <c r="K21" s="8" t="inlineStr">
        <is>
          <t>À faire</t>
        </is>
      </c>
      <c r="L21" s="9" t="n"/>
    </row>
    <row r="22">
      <c r="A22" s="4" t="inlineStr">
        <is>
          <t>T18</t>
        </is>
      </c>
      <c r="B22" s="4" t="inlineStr">
        <is>
          <t>J2</t>
        </is>
      </c>
      <c r="C22" s="5" t="n">
        <v>46315</v>
      </c>
      <c r="D22" s="4" t="inlineStr">
        <is>
          <t>Dev B</t>
        </is>
      </c>
      <c r="E22" s="6" t="inlineStr">
        <is>
          <t>Catalogue</t>
        </is>
      </c>
      <c r="F22" s="6" t="inlineStr">
        <is>
          <t>Fiche produit : médias, variantes et prix, stock, avis</t>
        </is>
      </c>
      <c r="G22" s="6" t="inlineStr">
        <is>
          <t>GET /produits/:id, /produits/:id/avis</t>
        </is>
      </c>
      <c r="H22" s="6" t="inlineStr">
        <is>
          <t>Choix d'une variante possible</t>
        </is>
      </c>
      <c r="I22" s="4" t="inlineStr">
        <is>
          <t>P0</t>
        </is>
      </c>
      <c r="J22" s="7" t="n">
        <v>2.5</v>
      </c>
      <c r="K22" s="8" t="inlineStr">
        <is>
          <t>À faire</t>
        </is>
      </c>
      <c r="L22" s="9" t="n"/>
    </row>
    <row r="23">
      <c r="A23" s="4" t="inlineStr">
        <is>
          <t>T19</t>
        </is>
      </c>
      <c r="B23" s="4" t="inlineStr">
        <is>
          <t>J2</t>
        </is>
      </c>
      <c r="C23" s="5" t="n">
        <v>46315</v>
      </c>
      <c r="D23" s="4" t="inlineStr">
        <is>
          <t>Dev B</t>
        </is>
      </c>
      <c r="E23" s="6" t="inlineStr">
        <is>
          <t>Boutiques</t>
        </is>
      </c>
      <c r="F23" s="6" t="inlineStr">
        <is>
          <t>Page boutique + recherche de boutiques + s'abonner / se désabonner + mes abonnements</t>
        </is>
      </c>
      <c r="G23" s="6" t="inlineStr">
        <is>
          <t>GET /boutiques, /boutiques/:id, /boutiques/:id/avis/resume, POST|DELETE /vendeurs/:id/suivre, GET /moi/abonnements</t>
        </is>
      </c>
      <c r="H23" s="6" t="inlineStr">
        <is>
          <t>Abonnement reflété partout</t>
        </is>
      </c>
      <c r="I23" s="4" t="inlineStr">
        <is>
          <t>P0</t>
        </is>
      </c>
      <c r="J23" s="7" t="n">
        <v>2.5</v>
      </c>
      <c r="K23" s="8" t="inlineStr">
        <is>
          <t>À faire</t>
        </is>
      </c>
      <c r="L23" s="9" t="n"/>
    </row>
    <row r="24">
      <c r="A24" s="4" t="inlineStr">
        <is>
          <t>T20</t>
        </is>
      </c>
      <c r="B24" s="4" t="inlineStr">
        <is>
          <t>J3</t>
        </is>
      </c>
      <c r="C24" s="5" t="n">
        <v>46316</v>
      </c>
      <c r="D24" s="4" t="inlineStr">
        <is>
          <t>Dev A</t>
        </is>
      </c>
      <c r="E24" s="6" t="inlineStr">
        <is>
          <t>Interactions</t>
        </is>
      </c>
      <c r="F24" s="6" t="inlineStr">
        <is>
          <t>Like publication, favoris publication/produit, partage, états de l'utilisateur</t>
        </is>
      </c>
      <c r="G24" s="6" t="inlineStr">
        <is>
          <t>POST|DELETE /publications/:id/like, /publications/:id/favori, /produits/:id/favori, POST /publications/:id/partager, GET /moi/etats</t>
        </is>
      </c>
      <c r="H24" s="6" t="inlineStr">
        <is>
          <t>Mise à jour optimiste des compteurs</t>
        </is>
      </c>
      <c r="I24" s="4" t="inlineStr">
        <is>
          <t>P0</t>
        </is>
      </c>
      <c r="J24" s="7" t="n">
        <v>2.5</v>
      </c>
      <c r="K24" s="8" t="inlineStr">
        <is>
          <t>À faire</t>
        </is>
      </c>
      <c r="L24" s="9" t="n"/>
    </row>
    <row r="25">
      <c r="A25" s="4" t="inlineStr">
        <is>
          <t>T21</t>
        </is>
      </c>
      <c r="B25" s="4" t="inlineStr">
        <is>
          <t>J3</t>
        </is>
      </c>
      <c r="C25" s="5" t="n">
        <v>46316</v>
      </c>
      <c r="D25" s="4" t="inlineStr">
        <is>
          <t>Dev A</t>
        </is>
      </c>
      <c r="E25" s="6" t="inlineStr">
        <is>
          <t>Interactions</t>
        </is>
      </c>
      <c r="F25" s="6" t="inlineStr">
        <is>
          <t>Commentaires + réponses + like de commentaire + suppression</t>
        </is>
      </c>
      <c r="G25" s="6" t="inlineStr">
        <is>
          <t>GET|POST /publications/:id/commentaires, GET /commentaires/:id/reponses, POST|DELETE /commentaires/:id/like, DELETE /commentaires/:id</t>
        </is>
      </c>
      <c r="H25" s="6" t="inlineStr">
        <is>
          <t>Fil de commentaires complet</t>
        </is>
      </c>
      <c r="I25" s="4" t="inlineStr">
        <is>
          <t>P0</t>
        </is>
      </c>
      <c r="J25" s="7" t="n">
        <v>2.5</v>
      </c>
      <c r="K25" s="8" t="inlineStr">
        <is>
          <t>À faire</t>
        </is>
      </c>
      <c r="L25" s="9" t="n"/>
    </row>
    <row r="26">
      <c r="A26" s="4" t="inlineStr">
        <is>
          <t>T22</t>
        </is>
      </c>
      <c r="B26" s="4" t="inlineStr">
        <is>
          <t>J3</t>
        </is>
      </c>
      <c r="C26" s="5" t="n">
        <v>46316</v>
      </c>
      <c r="D26" s="4" t="inlineStr">
        <is>
          <t>Dev A</t>
        </is>
      </c>
      <c r="E26" s="6" t="inlineStr">
        <is>
          <t>Interactions</t>
        </is>
      </c>
      <c r="F26" s="6" t="inlineStr">
        <is>
          <t>Signaler (motifs) + mes favoris + mes signalements</t>
        </is>
      </c>
      <c r="G26" s="6" t="inlineStr">
        <is>
          <t>GET /signalements/motifs, POST /signalements, GET /moi/signalements, /moi/favoris/*</t>
        </is>
      </c>
      <c r="H26" s="6" t="inlineStr">
        <is>
          <t>Signalement depuis publication/produit/boutique</t>
        </is>
      </c>
      <c r="I26" s="4" t="inlineStr">
        <is>
          <t>P1</t>
        </is>
      </c>
      <c r="J26" s="7" t="n">
        <v>1.5</v>
      </c>
      <c r="K26" s="8" t="inlineStr">
        <is>
          <t>À faire</t>
        </is>
      </c>
      <c r="L26" s="9" t="n"/>
    </row>
    <row r="27">
      <c r="A27" s="4" t="inlineStr">
        <is>
          <t>T23</t>
        </is>
      </c>
      <c r="B27" s="4" t="inlineStr">
        <is>
          <t>J3</t>
        </is>
      </c>
      <c r="C27" s="5" t="n">
        <v>46316</v>
      </c>
      <c r="D27" s="4" t="inlineStr">
        <is>
          <t>Dev A</t>
        </is>
      </c>
      <c r="E27" s="6" t="inlineStr">
        <is>
          <t>Socle</t>
        </is>
      </c>
      <c r="F27" s="6" t="inlineStr">
        <is>
          <t>Service d'upload réutilisable : demande d'URL signée → PUT vers R2 → confirmation</t>
        </is>
      </c>
      <c r="G27" s="6" t="inlineStr">
        <is>
          <t>Routes */signature + */confirmer</t>
        </is>
      </c>
      <c r="H27" s="6" t="inlineStr">
        <is>
          <t>Utilisé par photo, pièces jointes, KYC, médias</t>
        </is>
      </c>
      <c r="I27" s="4" t="inlineStr">
        <is>
          <t>P0</t>
        </is>
      </c>
      <c r="J27" s="7" t="n">
        <v>1.5</v>
      </c>
      <c r="K27" s="8" t="inlineStr">
        <is>
          <t>À faire</t>
        </is>
      </c>
      <c r="L27" s="9" t="n"/>
    </row>
    <row r="28">
      <c r="A28" s="4" t="inlineStr">
        <is>
          <t>T24</t>
        </is>
      </c>
      <c r="B28" s="4" t="inlineStr">
        <is>
          <t>J3</t>
        </is>
      </c>
      <c r="C28" s="5" t="n">
        <v>46316</v>
      </c>
      <c r="D28" s="4" t="inlineStr">
        <is>
          <t>Dev B</t>
        </is>
      </c>
      <c r="E28" s="6" t="inlineStr">
        <is>
          <t>Achat</t>
        </is>
      </c>
      <c r="F28" s="6" t="inlineStr">
        <is>
          <t>Panier : ajouter, modifier la quantité, supprimer, total</t>
        </is>
      </c>
      <c r="G28" s="6" t="inlineStr">
        <is>
          <t>GET /panier, POST /panier/articles, PATCH|DELETE /panier/articles/:id</t>
        </is>
      </c>
      <c r="H28" s="6" t="inlineStr">
        <is>
          <t>Panier synchronisé avec l'API</t>
        </is>
      </c>
      <c r="I28" s="4" t="inlineStr">
        <is>
          <t>P0</t>
        </is>
      </c>
      <c r="J28" s="7" t="n">
        <v>2.5</v>
      </c>
      <c r="K28" s="8" t="inlineStr">
        <is>
          <t>À faire</t>
        </is>
      </c>
      <c r="L28" s="9" t="n"/>
    </row>
    <row r="29">
      <c r="A29" s="4" t="inlineStr">
        <is>
          <t>T25</t>
        </is>
      </c>
      <c r="B29" s="4" t="inlineStr">
        <is>
          <t>J3</t>
        </is>
      </c>
      <c r="C29" s="5" t="n">
        <v>46316</v>
      </c>
      <c r="D29" s="4" t="inlineStr">
        <is>
          <t>Dev B</t>
        </is>
      </c>
      <c r="E29" s="6" t="inlineStr">
        <is>
          <t>Achat</t>
        </is>
      </c>
      <c r="F29" s="6" t="inlineStr">
        <is>
          <t>Adresses : liste, ajout, modification, suppression</t>
        </is>
      </c>
      <c r="G29" s="6" t="inlineStr">
        <is>
          <t>GET /clients/me, POST|PATCH|DELETE /clients/me/adresses</t>
        </is>
      </c>
      <c r="H29" s="6" t="inlineStr">
        <is>
          <t>Adresse choisie au moment de commander</t>
        </is>
      </c>
      <c r="I29" s="4" t="inlineStr">
        <is>
          <t>P0</t>
        </is>
      </c>
      <c r="J29" s="7" t="n">
        <v>1.5</v>
      </c>
      <c r="K29" s="8" t="inlineStr">
        <is>
          <t>À faire</t>
        </is>
      </c>
      <c r="L29" s="9" t="n"/>
    </row>
    <row r="30">
      <c r="A30" s="4" t="inlineStr">
        <is>
          <t>T26</t>
        </is>
      </c>
      <c r="B30" s="4" t="inlineStr">
        <is>
          <t>J3</t>
        </is>
      </c>
      <c r="C30" s="5" t="n">
        <v>46316</v>
      </c>
      <c r="D30" s="4" t="inlineStr">
        <is>
          <t>Dev B</t>
        </is>
      </c>
      <c r="E30" s="6" t="inlineStr">
        <is>
          <t>Achat</t>
        </is>
      </c>
      <c r="F30" s="6" t="inlineStr">
        <is>
          <t>Commander + liste/détail des commandes + annulation ; état « en attente de paiement »</t>
        </is>
      </c>
      <c r="G30" s="6" t="inlineStr">
        <is>
          <t>POST /commandes, GET /commandes, /commandes/:id, POST /commandes/:id/annuler</t>
        </is>
      </c>
      <c r="H30" s="6" t="inlineStr">
        <is>
          <t>Commande créée de bout en bout (sans paiement)</t>
        </is>
      </c>
      <c r="I30" s="4" t="inlineStr">
        <is>
          <t>P0</t>
        </is>
      </c>
      <c r="J30" s="7" t="n">
        <v>3</v>
      </c>
      <c r="K30" s="8" t="inlineStr">
        <is>
          <t>À faire</t>
        </is>
      </c>
      <c r="L30" s="9" t="n"/>
    </row>
    <row r="31">
      <c r="A31" s="4" t="inlineStr">
        <is>
          <t>T27</t>
        </is>
      </c>
      <c r="B31" s="4" t="inlineStr">
        <is>
          <t>J3</t>
        </is>
      </c>
      <c r="C31" s="5" t="n">
        <v>46316</v>
      </c>
      <c r="D31" s="4" t="inlineStr">
        <is>
          <t>Dev B</t>
        </is>
      </c>
      <c r="E31" s="6" t="inlineStr">
        <is>
          <t>Avis</t>
        </is>
      </c>
      <c r="F31" s="6" t="inlineStr">
        <is>
          <t>Avis à laisser, créer / modifier / supprimer un avis</t>
        </is>
      </c>
      <c r="G31" s="6" t="inlineStr">
        <is>
          <t>GET /moi/avis/a-noter, POST /avis, PATCH|DELETE /avis/:id</t>
        </is>
      </c>
      <c r="H31" s="6" t="inlineStr">
        <is>
          <t>Avis visible sur la fiche produit</t>
        </is>
      </c>
      <c r="I31" s="4" t="inlineStr">
        <is>
          <t>P1</t>
        </is>
      </c>
      <c r="J31" s="7" t="n">
        <v>1</v>
      </c>
      <c r="K31" s="8" t="inlineStr">
        <is>
          <t>À faire</t>
        </is>
      </c>
      <c r="L31" s="9" t="n"/>
    </row>
    <row r="32">
      <c r="A32" s="4" t="inlineStr">
        <is>
          <t>T28</t>
        </is>
      </c>
      <c r="B32" s="4" t="inlineStr">
        <is>
          <t>J4</t>
        </is>
      </c>
      <c r="C32" s="5" t="n">
        <v>46317</v>
      </c>
      <c r="D32" s="4" t="inlineStr">
        <is>
          <t>Dev A</t>
        </is>
      </c>
      <c r="E32" s="6" t="inlineStr">
        <is>
          <t>Messagerie</t>
        </is>
      </c>
      <c r="F32" s="6" t="inlineStr">
        <is>
          <t>Liste des conversations + non lus + démarrer une conversation</t>
        </is>
      </c>
      <c r="G32" s="6" t="inlineStr">
        <is>
          <t>GET|POST /conversations, GET /conversations/non-lus, /conversations/:id</t>
        </is>
      </c>
      <c r="H32" s="6" t="inlineStr">
        <is>
          <t>Badge non lus à jour</t>
        </is>
      </c>
      <c r="I32" s="4" t="inlineStr">
        <is>
          <t>P0</t>
        </is>
      </c>
      <c r="J32" s="7" t="n">
        <v>2</v>
      </c>
      <c r="K32" s="8" t="inlineStr">
        <is>
          <t>À faire</t>
        </is>
      </c>
      <c r="L32" s="9" t="n"/>
    </row>
    <row r="33">
      <c r="A33" s="4" t="inlineStr">
        <is>
          <t>T29</t>
        </is>
      </c>
      <c r="B33" s="4" t="inlineStr">
        <is>
          <t>J4</t>
        </is>
      </c>
      <c r="C33" s="5" t="n">
        <v>46317</v>
      </c>
      <c r="D33" s="4" t="inlineStr">
        <is>
          <t>Dev A</t>
        </is>
      </c>
      <c r="E33" s="6" t="inlineStr">
        <is>
          <t>Messagerie</t>
        </is>
      </c>
      <c r="F33" s="6" t="inlineStr">
        <is>
          <t>Écran de discussion : messages par curseur, envoi, pièces jointes, marquer lu</t>
        </is>
      </c>
      <c r="G33" s="6" t="inlineStr">
        <is>
          <t>GET|POST /conversations/:id/messages, POST /conversations/:id/pieces-jointes/signature, /conversations/:id/lu</t>
        </is>
      </c>
      <c r="H33" s="6" t="inlineStr">
        <is>
          <t>Historique chargé en remontant</t>
        </is>
      </c>
      <c r="I33" s="4" t="inlineStr">
        <is>
          <t>P0</t>
        </is>
      </c>
      <c r="J33" s="7" t="n">
        <v>3</v>
      </c>
      <c r="K33" s="8" t="inlineStr">
        <is>
          <t>À faire</t>
        </is>
      </c>
      <c r="L33" s="9" t="n"/>
    </row>
    <row r="34">
      <c r="A34" s="4" t="inlineStr">
        <is>
          <t>T30</t>
        </is>
      </c>
      <c r="B34" s="4" t="inlineStr">
        <is>
          <t>J4</t>
        </is>
      </c>
      <c r="C34" s="5" t="n">
        <v>46317</v>
      </c>
      <c r="D34" s="4" t="inlineStr">
        <is>
          <t>Dev A</t>
        </is>
      </c>
      <c r="E34" s="6" t="inlineStr">
        <is>
          <t>Temps réel</t>
        </is>
      </c>
      <c r="F34" s="6" t="inlineStr">
        <is>
          <t>Socket.IO /temps-reel : connexion JWT, message:nouveau, message:lus, conversation:ecrit, reconnexion</t>
        </is>
      </c>
      <c r="G34" s="6" t="inlineStr">
        <is>
          <t>Namespace /temps-reel</t>
        </is>
      </c>
      <c r="H34" s="6" t="inlineStr">
        <is>
          <t>Deux comptes discutent en temps réel</t>
        </is>
      </c>
      <c r="I34" s="4" t="inlineStr">
        <is>
          <t>P0</t>
        </is>
      </c>
      <c r="J34" s="7" t="n">
        <v>2</v>
      </c>
      <c r="K34" s="8" t="inlineStr">
        <is>
          <t>À faire</t>
        </is>
      </c>
      <c r="L34" s="9" t="n"/>
    </row>
    <row r="35">
      <c r="A35" s="4" t="inlineStr">
        <is>
          <t>T31</t>
        </is>
      </c>
      <c r="B35" s="4" t="inlineStr">
        <is>
          <t>J4</t>
        </is>
      </c>
      <c r="C35" s="5" t="n">
        <v>46317</v>
      </c>
      <c r="D35" s="4" t="inlineStr">
        <is>
          <t>Dev A</t>
        </is>
      </c>
      <c r="E35" s="6" t="inlineStr">
        <is>
          <t>Messagerie</t>
        </is>
      </c>
      <c r="F35" s="6" t="inlineStr">
        <is>
          <t>Bloquer / débloquer + liste des bloqués</t>
        </is>
      </c>
      <c r="G35" s="6" t="inlineStr">
        <is>
          <t>POST|DELETE /utilisateurs/:id/bloquer, GET /moi/bloques</t>
        </is>
      </c>
      <c r="H35" s="6" t="inlineStr">
        <is>
          <t>Utilisateur bloqué ne peut plus écrire</t>
        </is>
      </c>
      <c r="I35" s="4" t="inlineStr">
        <is>
          <t>P2</t>
        </is>
      </c>
      <c r="J35" s="7" t="n">
        <v>1</v>
      </c>
      <c r="K35" s="8" t="inlineStr">
        <is>
          <t>À faire</t>
        </is>
      </c>
      <c r="L35" s="9" t="n"/>
    </row>
    <row r="36">
      <c r="A36" s="4" t="inlineStr">
        <is>
          <t>T32</t>
        </is>
      </c>
      <c r="B36" s="4" t="inlineStr">
        <is>
          <t>J4</t>
        </is>
      </c>
      <c r="C36" s="5" t="n">
        <v>46317</v>
      </c>
      <c r="D36" s="4" t="inlineStr">
        <is>
          <t>Dev B</t>
        </is>
      </c>
      <c r="E36" s="6" t="inlineStr">
        <is>
          <t>Profil</t>
        </is>
      </c>
      <c r="F36" s="6" t="inlineStr">
        <is>
          <t>Profil : modifier, pseudo disponible, photo (upload signé)</t>
        </is>
      </c>
      <c r="G36" s="6" t="inlineStr">
        <is>
          <t>GET|PATCH /users/me, GET /users/pseudo-disponible, POST /users/me/photo/signature, PUT|DELETE /users/me/photo</t>
        </is>
      </c>
      <c r="H36" s="6" t="inlineStr">
        <is>
          <t>Photo et pseudo modifiables</t>
        </is>
      </c>
      <c r="I36" s="4" t="inlineStr">
        <is>
          <t>P0</t>
        </is>
      </c>
      <c r="J36" s="7" t="n">
        <v>2.5</v>
      </c>
      <c r="K36" s="8" t="inlineStr">
        <is>
          <t>À faire</t>
        </is>
      </c>
      <c r="L36" s="9" t="n"/>
    </row>
    <row r="37">
      <c r="A37" s="4" t="inlineStr">
        <is>
          <t>T33</t>
        </is>
      </c>
      <c r="B37" s="4" t="inlineStr">
        <is>
          <t>J4</t>
        </is>
      </c>
      <c r="C37" s="5" t="n">
        <v>46317</v>
      </c>
      <c r="D37" s="4" t="inlineStr">
        <is>
          <t>Dev B</t>
        </is>
      </c>
      <c r="E37" s="6" t="inlineStr">
        <is>
          <t>Sécurité</t>
        </is>
      </c>
      <c r="F37" s="6" t="inlineStr">
        <is>
          <t>Sessions, déconnecter partout, changer mot de passe / email / téléphone, supprimer le compte</t>
        </is>
      </c>
      <c r="G37" s="6" t="inlineStr">
        <is>
          <t>GET|DELETE /auth/sessions, POST /auth/deconnecter-partout, /auth/mot-de-passe/changer, /auth/email/*, /auth/telephone/*, /auth/compte/supprimer</t>
        </is>
      </c>
      <c r="H37" s="6" t="inlineStr">
        <is>
          <t>Tous les écrans de sécurité branchés</t>
        </is>
      </c>
      <c r="I37" s="4" t="inlineStr">
        <is>
          <t>P1</t>
        </is>
      </c>
      <c r="J37" s="7" t="n">
        <v>3</v>
      </c>
      <c r="K37" s="8" t="inlineStr">
        <is>
          <t>À faire</t>
        </is>
      </c>
      <c r="L37" s="9" t="n"/>
    </row>
    <row r="38">
      <c r="A38" s="4" t="inlineStr">
        <is>
          <t>T34</t>
        </is>
      </c>
      <c r="B38" s="4" t="inlineStr">
        <is>
          <t>J4</t>
        </is>
      </c>
      <c r="C38" s="5" t="n">
        <v>46317</v>
      </c>
      <c r="D38" s="4" t="inlineStr">
        <is>
          <t>Dev B</t>
        </is>
      </c>
      <c r="E38" s="6" t="inlineStr">
        <is>
          <t>Notifications</t>
        </is>
      </c>
      <c r="F38" s="6" t="inlineStr">
        <is>
          <t>Liste des notifications, tout lire, supprimer, préférences, compteur temps réel</t>
        </is>
      </c>
      <c r="G38" s="6" t="inlineStr">
        <is>
          <t>GET /notifications, /notifications/compteur, POST /notifications/tout-lire, GET|PUT /notifications/preferences, PATCH /notifications/:id/lue, notification:nouvelle</t>
        </is>
      </c>
      <c r="H38" s="6" t="inlineStr">
        <is>
          <t>Badge mis à jour sans recharger</t>
        </is>
      </c>
      <c r="I38" s="4" t="inlineStr">
        <is>
          <t>P0</t>
        </is>
      </c>
      <c r="J38" s="7" t="n">
        <v>2.5</v>
      </c>
      <c r="K38" s="8" t="inlineStr">
        <is>
          <t>À faire</t>
        </is>
      </c>
      <c r="L38" s="9" t="n"/>
    </row>
    <row r="39">
      <c r="A39" s="4" t="inlineStr">
        <is>
          <t>T35</t>
        </is>
      </c>
      <c r="B39" s="4" t="inlineStr">
        <is>
          <t>J5</t>
        </is>
      </c>
      <c r="C39" s="5" t="n">
        <v>46318</v>
      </c>
      <c r="D39" s="4" t="inlineStr">
        <is>
          <t>Dev A</t>
        </is>
      </c>
      <c r="E39" s="6" t="inlineStr">
        <is>
          <t>Vendeur</t>
        </is>
      </c>
      <c r="F39" s="6" t="inlineStr">
        <is>
          <t>Devenir vendeur + profil vendeur</t>
        </is>
      </c>
      <c r="G39" s="6" t="inlineStr">
        <is>
          <t>POST /sellers/devenir, GET|PATCH /sellers/me</t>
        </is>
      </c>
      <c r="H39" s="6" t="inlineStr">
        <is>
          <t>Bascule en mode vendeur</t>
        </is>
      </c>
      <c r="I39" s="4" t="inlineStr">
        <is>
          <t>P0</t>
        </is>
      </c>
      <c r="J39" s="7" t="n">
        <v>1.5</v>
      </c>
      <c r="K39" s="8" t="inlineStr">
        <is>
          <t>À faire</t>
        </is>
      </c>
      <c r="L39" s="9" t="n"/>
    </row>
    <row r="40">
      <c r="A40" s="4" t="inlineStr">
        <is>
          <t>T36</t>
        </is>
      </c>
      <c r="B40" s="4" t="inlineStr">
        <is>
          <t>J5</t>
        </is>
      </c>
      <c r="C40" s="5" t="n">
        <v>46318</v>
      </c>
      <c r="D40" s="4" t="inlineStr">
        <is>
          <t>Dev A</t>
        </is>
      </c>
      <c r="E40" s="6" t="inlineStr">
        <is>
          <t>KYC</t>
        </is>
      </c>
      <c r="F40" s="6" t="inlineStr">
        <is>
          <t>Upload recto/verso CNI + selfie, extraction automatique, confirmation des données</t>
        </is>
      </c>
      <c r="G40" s="6" t="inlineStr">
        <is>
          <t>POST /kyc/documents/signature, /kyc/documents/confirmer, /kyc/cni/extraire, /kyc/cni/confirmer</t>
        </is>
      </c>
      <c r="H40" s="6" t="inlineStr">
        <is>
          <t>Données CNI pré-remplies puis corrigeables</t>
        </is>
      </c>
      <c r="I40" s="4" t="inlineStr">
        <is>
          <t>P0</t>
        </is>
      </c>
      <c r="J40" s="7" t="n">
        <v>4</v>
      </c>
      <c r="K40" s="8" t="inlineStr">
        <is>
          <t>À faire</t>
        </is>
      </c>
      <c r="L40" s="9" t="n"/>
    </row>
    <row r="41">
      <c r="A41" s="4" t="inlineStr">
        <is>
          <t>T37</t>
        </is>
      </c>
      <c r="B41" s="4" t="inlineStr">
        <is>
          <t>J5</t>
        </is>
      </c>
      <c r="C41" s="5" t="n">
        <v>46318</v>
      </c>
      <c r="D41" s="4" t="inlineStr">
        <is>
          <t>Dev A</t>
        </is>
      </c>
      <c r="E41" s="6" t="inlineStr">
        <is>
          <t>KYC</t>
        </is>
      </c>
      <c r="F41" s="6" t="inlineStr">
        <is>
          <t>Soumettre le dossier + suivi du statut (en attente, validé, refusé avec motif)</t>
        </is>
      </c>
      <c r="G41" s="6" t="inlineStr">
        <is>
          <t>POST /kyc/soumettre, GET /kyc/mon-dossier</t>
        </is>
      </c>
      <c r="H41" s="6" t="inlineStr">
        <is>
          <t>Statut affiché au vendeur</t>
        </is>
      </c>
      <c r="I41" s="4" t="inlineStr">
        <is>
          <t>P0</t>
        </is>
      </c>
      <c r="J41" s="7" t="n">
        <v>2</v>
      </c>
      <c r="K41" s="8" t="inlineStr">
        <is>
          <t>À faire</t>
        </is>
      </c>
      <c r="L41" s="9" t="n"/>
    </row>
    <row r="42">
      <c r="A42" s="4" t="inlineStr">
        <is>
          <t>T38</t>
        </is>
      </c>
      <c r="B42" s="4" t="inlineStr">
        <is>
          <t>J5</t>
        </is>
      </c>
      <c r="C42" s="5" t="n">
        <v>46318</v>
      </c>
      <c r="D42" s="4" t="inlineStr">
        <is>
          <t>Dev B</t>
        </is>
      </c>
      <c r="E42" s="6" t="inlineStr">
        <is>
          <t>Boutique</t>
        </is>
      </c>
      <c r="F42" s="6" t="inlineStr">
        <is>
          <t>Créer / modifier la boutique, logo et bannière</t>
        </is>
      </c>
      <c r="G42" s="6" t="inlineStr">
        <is>
          <t>GET|PATCH /shops/me, POST /shops, POST /shops/me/:type/signature, PUT|DELETE /shops/me/:type</t>
        </is>
      </c>
      <c r="H42" s="6" t="inlineStr">
        <is>
          <t>Boutique visible publiquement</t>
        </is>
      </c>
      <c r="I42" s="4" t="inlineStr">
        <is>
          <t>P0</t>
        </is>
      </c>
      <c r="J42" s="7" t="n">
        <v>2.5</v>
      </c>
      <c r="K42" s="8" t="inlineStr">
        <is>
          <t>À faire</t>
        </is>
      </c>
      <c r="L42" s="9" t="n"/>
    </row>
    <row r="43">
      <c r="A43" s="4" t="inlineStr">
        <is>
          <t>T39</t>
        </is>
      </c>
      <c r="B43" s="4" t="inlineStr">
        <is>
          <t>J5</t>
        </is>
      </c>
      <c r="C43" s="5" t="n">
        <v>46318</v>
      </c>
      <c r="D43" s="4" t="inlineStr">
        <is>
          <t>Dev B</t>
        </is>
      </c>
      <c r="E43" s="6" t="inlineStr">
        <is>
          <t>Produits</t>
        </is>
      </c>
      <c r="F43" s="6" t="inlineStr">
        <is>
          <t>Liste et création/modification de produits, archiver/restaurer, supprimer</t>
        </is>
      </c>
      <c r="G43" s="6" t="inlineStr">
        <is>
          <t>GET|POST /boutique/produits, GET|PATCH|DELETE /boutique/produits/:id, POST .../archiver, .../restaurer</t>
        </is>
      </c>
      <c r="H43" s="6" t="inlineStr">
        <is>
          <t>Produit publié dans le catalogue</t>
        </is>
      </c>
      <c r="I43" s="4" t="inlineStr">
        <is>
          <t>P0</t>
        </is>
      </c>
      <c r="J43" s="7" t="n">
        <v>3</v>
      </c>
      <c r="K43" s="8" t="inlineStr">
        <is>
          <t>À faire</t>
        </is>
      </c>
      <c r="L43" s="9" t="n"/>
    </row>
    <row r="44">
      <c r="A44" s="4" t="inlineStr">
        <is>
          <t>T40</t>
        </is>
      </c>
      <c r="B44" s="4" t="inlineStr">
        <is>
          <t>J5</t>
        </is>
      </c>
      <c r="C44" s="5" t="n">
        <v>46318</v>
      </c>
      <c r="D44" s="4" t="inlineStr">
        <is>
          <t>Dev B</t>
        </is>
      </c>
      <c r="E44" s="6" t="inlineStr">
        <is>
          <t>Produits</t>
        </is>
      </c>
      <c r="F44" s="6" t="inlineStr">
        <is>
          <t>Variantes, ajustement du stock, médias du produit</t>
        </is>
      </c>
      <c r="G44" s="6" t="inlineStr">
        <is>
          <t>POST|PATCH|DELETE /boutique/produits/:id/variantes/*, PATCH .../stock, POST /boutique/medias/signature, /boutique/medias/confirmer</t>
        </is>
      </c>
      <c r="H44" s="6" t="inlineStr">
        <is>
          <t>Variantes et photos gérées</t>
        </is>
      </c>
      <c r="I44" s="4" t="inlineStr">
        <is>
          <t>P0</t>
        </is>
      </c>
      <c r="J44" s="7" t="n">
        <v>2.5</v>
      </c>
      <c r="K44" s="8" t="inlineStr">
        <is>
          <t>À faire</t>
        </is>
      </c>
      <c r="L44" s="9" t="n"/>
    </row>
    <row r="45">
      <c r="A45" s="4" t="inlineStr">
        <is>
          <t>T41</t>
        </is>
      </c>
      <c r="B45" s="4" t="inlineStr">
        <is>
          <t>J6</t>
        </is>
      </c>
      <c r="C45" s="5" t="n">
        <v>46319</v>
      </c>
      <c r="D45" s="4" t="inlineStr">
        <is>
          <t>Dev A</t>
        </is>
      </c>
      <c r="E45" s="6" t="inlineStr">
        <is>
          <t>Publications</t>
        </is>
      </c>
      <c r="F45" s="6" t="inlineStr">
        <is>
          <t>Publications vendeur : brouillon, média, publier, modifier, supprimer</t>
        </is>
      </c>
      <c r="G45" s="6" t="inlineStr">
        <is>
          <t>GET|POST /boutique/publications, PATCH|DELETE /boutique/publications/:id, POST .../media/signature, .../media, .../publier</t>
        </is>
      </c>
      <c r="H45" s="6" t="inlineStr">
        <is>
          <t>Publication visible dans le fil</t>
        </is>
      </c>
      <c r="I45" s="4" t="inlineStr">
        <is>
          <t>P0</t>
        </is>
      </c>
      <c r="J45" s="7" t="n">
        <v>3.5</v>
      </c>
      <c r="K45" s="8" t="inlineStr">
        <is>
          <t>À faire</t>
        </is>
      </c>
      <c r="L45" s="9" t="n"/>
    </row>
    <row r="46">
      <c r="A46" s="4" t="inlineStr">
        <is>
          <t>T42</t>
        </is>
      </c>
      <c r="B46" s="4" t="inlineStr">
        <is>
          <t>J6</t>
        </is>
      </c>
      <c r="C46" s="5" t="n">
        <v>46319</v>
      </c>
      <c r="D46" s="4" t="inlineStr">
        <is>
          <t>Dev A</t>
        </is>
      </c>
      <c r="E46" s="6" t="inlineStr">
        <is>
          <t>Stories</t>
        </is>
      </c>
      <c r="F46" s="6" t="inlineStr">
        <is>
          <t>Stories vendeur : créer, média, supprimer, voir qui a vu</t>
        </is>
      </c>
      <c r="G46" s="6" t="inlineStr">
        <is>
          <t>GET|POST /boutique/stories, POST /boutique/stories/:id/media, DELETE /boutique/stories/:id, GET /boutique/stories/:id/vues</t>
        </is>
      </c>
      <c r="H46" s="6" t="inlineStr">
        <is>
          <t>Story publiée puis expirée</t>
        </is>
      </c>
      <c r="I46" s="4" t="inlineStr">
        <is>
          <t>P1</t>
        </is>
      </c>
      <c r="J46" s="7" t="n">
        <v>2.5</v>
      </c>
      <c r="K46" s="8" t="inlineStr">
        <is>
          <t>À faire</t>
        </is>
      </c>
      <c r="L46" s="9" t="n"/>
    </row>
    <row r="47">
      <c r="A47" s="4" t="inlineStr">
        <is>
          <t>T43</t>
        </is>
      </c>
      <c r="B47" s="4" t="inlineStr">
        <is>
          <t>J6</t>
        </is>
      </c>
      <c r="C47" s="5" t="n">
        <v>46319</v>
      </c>
      <c r="D47" s="4" t="inlineStr">
        <is>
          <t>Dev B</t>
        </is>
      </c>
      <c r="E47" s="6" t="inlineStr">
        <is>
          <t>Ventes</t>
        </is>
      </c>
      <c r="F47" s="6" t="inlineStr">
        <is>
          <t>Ventes de la boutique (liste + détail) et abonnés</t>
        </is>
      </c>
      <c r="G47" s="6" t="inlineStr">
        <is>
          <t>GET /boutique/commandes, /boutique/commandes/:id, /boutique/abonnes</t>
        </is>
      </c>
      <c r="H47" s="6" t="inlineStr">
        <is>
          <t>Le vendeur voit ses commandes</t>
        </is>
      </c>
      <c r="I47" s="4" t="inlineStr">
        <is>
          <t>P0</t>
        </is>
      </c>
      <c r="J47" s="7" t="n">
        <v>2.5</v>
      </c>
      <c r="K47" s="8" t="inlineStr">
        <is>
          <t>À faire</t>
        </is>
      </c>
      <c r="L47" s="9" t="n"/>
    </row>
    <row r="48">
      <c r="A48" s="4" t="inlineStr">
        <is>
          <t>T44</t>
        </is>
      </c>
      <c r="B48" s="4" t="inlineStr">
        <is>
          <t>J6</t>
        </is>
      </c>
      <c r="C48" s="5" t="n">
        <v>46319</v>
      </c>
      <c r="D48" s="4" t="inlineStr">
        <is>
          <t>Dev B</t>
        </is>
      </c>
      <c r="E48" s="6" t="inlineStr">
        <is>
          <t>Vendeur</t>
        </is>
      </c>
      <c r="F48" s="6" t="inlineStr">
        <is>
          <t>Accueil vendeur : raccourcis, compteurs (produits, ventes, abonnés)</t>
        </is>
      </c>
      <c r="G48" s="6" t="inlineStr">
        <is>
          <t>Agrégation des routes boutique/*</t>
        </is>
      </c>
      <c r="H48" s="6" t="inlineStr">
        <is>
          <t>Tableau de bord simple</t>
        </is>
      </c>
      <c r="I48" s="4" t="inlineStr">
        <is>
          <t>P2</t>
        </is>
      </c>
      <c r="J48" s="7" t="n">
        <v>1.5</v>
      </c>
      <c r="K48" s="8" t="inlineStr">
        <is>
          <t>À faire</t>
        </is>
      </c>
      <c r="L48" s="9" t="n"/>
    </row>
    <row r="49">
      <c r="A49" s="4" t="inlineStr">
        <is>
          <t>T45</t>
        </is>
      </c>
      <c r="B49" s="4" t="inlineStr">
        <is>
          <t>J6</t>
        </is>
      </c>
      <c r="C49" s="5" t="n">
        <v>46319</v>
      </c>
      <c r="D49" s="4" t="inlineStr">
        <is>
          <t>Dev B</t>
        </is>
      </c>
      <c r="E49" s="6" t="inlineStr">
        <is>
          <t>Push</t>
        </is>
      </c>
      <c r="F49" s="6" t="inlineStr">
        <is>
          <t>Push FCM : firebase_messaging, enregistrer/retirer l'appareil, ouverture depuis une notification</t>
        </is>
      </c>
      <c r="G49" s="6" t="inlineStr">
        <is>
          <t>POST /appareils, /appareils/retirer</t>
        </is>
      </c>
      <c r="H49" s="6" t="inlineStr">
        <is>
          <t>Notification reçue app fermée</t>
        </is>
      </c>
      <c r="I49" s="4" t="inlineStr">
        <is>
          <t>P1</t>
        </is>
      </c>
      <c r="J49" s="7" t="n">
        <v>3</v>
      </c>
      <c r="K49" s="8" t="inlineStr">
        <is>
          <t>À faire</t>
        </is>
      </c>
      <c r="L49" s="9" t="n"/>
    </row>
    <row r="50">
      <c r="A50" s="4" t="inlineStr">
        <is>
          <t>T46</t>
        </is>
      </c>
      <c r="B50" s="4" t="inlineStr">
        <is>
          <t>J7</t>
        </is>
      </c>
      <c r="C50" s="5" t="n">
        <v>46320</v>
      </c>
      <c r="D50" s="4" t="inlineStr">
        <is>
          <t>A + B</t>
        </is>
      </c>
      <c r="E50" s="6" t="inlineStr">
        <is>
          <t>Qualité</t>
        </is>
      </c>
      <c r="F50" s="6" t="inlineStr">
        <is>
          <t>Tests croisés : A teste les parcours de B et inversement, correction des bugs</t>
        </is>
      </c>
      <c r="G50" s="6" t="inlineStr">
        <is>
          <t>—</t>
        </is>
      </c>
      <c r="H50" s="6" t="inlineStr">
        <is>
          <t>Aucun bug bloquant sur les parcours P0</t>
        </is>
      </c>
      <c r="I50" s="4" t="inlineStr">
        <is>
          <t>P0</t>
        </is>
      </c>
      <c r="J50" s="7" t="n">
        <v>4</v>
      </c>
      <c r="K50" s="8" t="inlineStr">
        <is>
          <t>À faire</t>
        </is>
      </c>
      <c r="L50" s="9" t="n"/>
    </row>
    <row r="51">
      <c r="A51" s="4" t="inlineStr">
        <is>
          <t>T47</t>
        </is>
      </c>
      <c r="B51" s="4" t="inlineStr">
        <is>
          <t>J7</t>
        </is>
      </c>
      <c r="C51" s="5" t="n">
        <v>46320</v>
      </c>
      <c r="D51" s="4" t="inlineStr">
        <is>
          <t>A + B</t>
        </is>
      </c>
      <c r="E51" s="6" t="inlineStr">
        <is>
          <t>Qualité</t>
        </is>
      </c>
      <c r="F51" s="6" t="inlineStr">
        <is>
          <t>États vides / erreurs / chargement sur tous les écrans, perte de réseau</t>
        </is>
      </c>
      <c r="G51" s="6" t="inlineStr">
        <is>
          <t>—</t>
        </is>
      </c>
      <c r="H51" s="6" t="inlineStr">
        <is>
          <t>Aucun écran blanc ni crash</t>
        </is>
      </c>
      <c r="I51" s="4" t="inlineStr">
        <is>
          <t>P0</t>
        </is>
      </c>
      <c r="J51" s="7" t="n">
        <v>2</v>
      </c>
      <c r="K51" s="8" t="inlineStr">
        <is>
          <t>À faire</t>
        </is>
      </c>
      <c r="L51" s="9" t="n"/>
    </row>
    <row r="52">
      <c r="A52" s="4" t="inlineStr">
        <is>
          <t>T48</t>
        </is>
      </c>
      <c r="B52" s="4" t="inlineStr">
        <is>
          <t>J7</t>
        </is>
      </c>
      <c r="C52" s="5" t="n">
        <v>46320</v>
      </c>
      <c r="D52" s="4" t="inlineStr">
        <is>
          <t>Dev A</t>
        </is>
      </c>
      <c r="E52" s="6" t="inlineStr">
        <is>
          <t>Qualité</t>
        </is>
      </c>
      <c r="F52" s="6" t="inlineStr">
        <is>
          <t>Tests de widget des parcours critiques (auth, panier, commande)</t>
        </is>
      </c>
      <c r="G52" s="6" t="inlineStr">
        <is>
          <t>—</t>
        </is>
      </c>
      <c r="H52" s="6" t="inlineStr">
        <is>
          <t>flutter test au vert</t>
        </is>
      </c>
      <c r="I52" s="4" t="inlineStr">
        <is>
          <t>P1</t>
        </is>
      </c>
      <c r="J52" s="7" t="n">
        <v>2</v>
      </c>
      <c r="K52" s="8" t="inlineStr">
        <is>
          <t>À faire</t>
        </is>
      </c>
      <c r="L52" s="9" t="n"/>
    </row>
    <row r="53">
      <c r="A53" s="4" t="inlineStr">
        <is>
          <t>T49</t>
        </is>
      </c>
      <c r="B53" s="4" t="inlineStr">
        <is>
          <t>J7</t>
        </is>
      </c>
      <c r="C53" s="5" t="n">
        <v>46320</v>
      </c>
      <c r="D53" s="4" t="inlineStr">
        <is>
          <t>Dev B</t>
        </is>
      </c>
      <c r="E53" s="6" t="inlineStr">
        <is>
          <t>Livraison</t>
        </is>
      </c>
      <c r="F53" s="6" t="inlineStr">
        <is>
          <t>Icône, splash, nom de l'app, build APK de test</t>
        </is>
      </c>
      <c r="G53" s="6" t="inlineStr">
        <is>
          <t>—</t>
        </is>
      </c>
      <c r="H53" s="6" t="inlineStr">
        <is>
          <t>APK installable partagé</t>
        </is>
      </c>
      <c r="I53" s="4" t="inlineStr">
        <is>
          <t>P0</t>
        </is>
      </c>
      <c r="J53" s="7" t="n">
        <v>2</v>
      </c>
      <c r="K53" s="8" t="inlineStr">
        <is>
          <t>À faire</t>
        </is>
      </c>
      <c r="L53" s="9" t="n"/>
    </row>
  </sheetData>
  <autoFilter ref="A4:L53"/>
  <mergeCells count="1">
    <mergeCell ref="A2:L2"/>
  </mergeCells>
  <conditionalFormatting sqref="K5:K53">
    <cfRule type="cellIs" priority="1" operator="equal" dxfId="0">
      <formula>"Terminé"</formula>
    </cfRule>
    <cfRule type="cellIs" priority="2" operator="equal" dxfId="1">
      <formula>"En cours"</formula>
    </cfRule>
    <cfRule type="cellIs" priority="3" operator="equal" dxfId="2">
      <formula>"Bloqué"</formula>
    </cfRule>
  </conditionalFormatting>
  <conditionalFormatting sqref="A5:J53">
    <cfRule type="expression" priority="4" dxfId="3">
      <formula>$K5="Terminé"</formula>
    </cfRule>
  </conditionalFormatting>
  <conditionalFormatting sqref="I5:I53">
    <cfRule type="cellIs" priority="5" operator="equal" dxfId="4">
      <formula>"P0"</formula>
    </cfRule>
    <cfRule type="cellIs" priority="6" operator="equal" dxfId="5">
      <formula>"P1"</formula>
    </cfRule>
    <cfRule type="cellIs" priority="7" operator="equal" dxfId="6">
      <formula>"P2"</formula>
    </cfRule>
  </conditionalFormatting>
  <dataValidations count="1">
    <dataValidation sqref="K5:K53" showDropDown="0" showInputMessage="0" showErrorMessage="0" allowBlank="0" errorTitle="Statut invalide" error="Choisir un statut dans la liste." type="list">
      <formula1>"À faire,En cours,Terminé,Bloqué"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1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Suivi de l'avancement</t>
        </is>
      </c>
    </row>
    <row r="2">
      <c r="A2" s="2" t="inlineStr">
        <is>
          <t>Calculé automatiquement depuis la colonne Statut de la feuille Roadmap. Avancement = heures des tâches terminées / heures prévues.</t>
        </is>
      </c>
    </row>
    <row r="4" ht="30" customHeight="1">
      <c r="A4" s="3" t="inlineStr">
        <is>
          <t>Jour</t>
        </is>
      </c>
      <c r="B4" s="3" t="inlineStr">
        <is>
          <t>Date</t>
        </is>
      </c>
      <c r="C4" s="3" t="inlineStr">
        <is>
          <t>Tâches</t>
        </is>
      </c>
      <c r="D4" s="3" t="inlineStr">
        <is>
          <t>Terminées</t>
        </is>
      </c>
      <c r="E4" s="3" t="inlineStr">
        <is>
          <t>Bloquées</t>
        </is>
      </c>
      <c r="F4" s="3" t="inlineStr">
        <is>
          <t>Heures prévues</t>
        </is>
      </c>
      <c r="G4" s="3" t="inlineStr">
        <is>
          <t>Heures faites</t>
        </is>
      </c>
      <c r="H4" s="3" t="inlineStr">
        <is>
          <t>Avancement</t>
        </is>
      </c>
    </row>
    <row r="5">
      <c r="A5" s="4" t="inlineStr">
        <is>
          <t>J0</t>
        </is>
      </c>
      <c r="B5" s="5" t="n">
        <v>46313</v>
      </c>
      <c r="C5" s="4">
        <f>COUNTIFS(Roadmap!$B$5:$B$53,A5)</f>
        <v/>
      </c>
      <c r="D5" s="4">
        <f>COUNTIFS(Roadmap!$B$5:$B$53,A5,Roadmap!$K$5:$K$53,"Terminé")</f>
        <v/>
      </c>
      <c r="E5" s="4">
        <f>COUNTIFS(Roadmap!$B$5:$B$53,A5,Roadmap!$K$5:$K$53,"Bloqué")</f>
        <v/>
      </c>
      <c r="F5" s="7">
        <f>SUMIFS(Roadmap!$J$5:$J$53,Roadmap!$B$5:$B$53,A5)</f>
        <v/>
      </c>
      <c r="G5" s="7">
        <f>SUMIFS(Roadmap!$J$5:$J$53,Roadmap!$B$5:$B$53,A5,Roadmap!$K$5:$K$53,"Terminé")</f>
        <v/>
      </c>
      <c r="H5" s="10">
        <f>IF(F5=0,0,G5/F5)</f>
        <v/>
      </c>
    </row>
    <row r="6">
      <c r="A6" s="4" t="inlineStr">
        <is>
          <t>J1</t>
        </is>
      </c>
      <c r="B6" s="5" t="n">
        <v>46314</v>
      </c>
      <c r="C6" s="4">
        <f>COUNTIFS(Roadmap!$B$5:$B$53,A6)</f>
        <v/>
      </c>
      <c r="D6" s="4">
        <f>COUNTIFS(Roadmap!$B$5:$B$53,A6,Roadmap!$K$5:$K$53,"Terminé")</f>
        <v/>
      </c>
      <c r="E6" s="4">
        <f>COUNTIFS(Roadmap!$B$5:$B$53,A6,Roadmap!$K$5:$K$53,"Bloqué")</f>
        <v/>
      </c>
      <c r="F6" s="7">
        <f>SUMIFS(Roadmap!$J$5:$J$53,Roadmap!$B$5:$B$53,A6)</f>
        <v/>
      </c>
      <c r="G6" s="7">
        <f>SUMIFS(Roadmap!$J$5:$J$53,Roadmap!$B$5:$B$53,A6,Roadmap!$K$5:$K$53,"Terminé")</f>
        <v/>
      </c>
      <c r="H6" s="10">
        <f>IF(F6=0,0,G6/F6)</f>
        <v/>
      </c>
    </row>
    <row r="7">
      <c r="A7" s="4" t="inlineStr">
        <is>
          <t>J2</t>
        </is>
      </c>
      <c r="B7" s="5" t="n">
        <v>46315</v>
      </c>
      <c r="C7" s="4">
        <f>COUNTIFS(Roadmap!$B$5:$B$53,A7)</f>
        <v/>
      </c>
      <c r="D7" s="4">
        <f>COUNTIFS(Roadmap!$B$5:$B$53,A7,Roadmap!$K$5:$K$53,"Terminé")</f>
        <v/>
      </c>
      <c r="E7" s="4">
        <f>COUNTIFS(Roadmap!$B$5:$B$53,A7,Roadmap!$K$5:$K$53,"Bloqué")</f>
        <v/>
      </c>
      <c r="F7" s="7">
        <f>SUMIFS(Roadmap!$J$5:$J$53,Roadmap!$B$5:$B$53,A7)</f>
        <v/>
      </c>
      <c r="G7" s="7">
        <f>SUMIFS(Roadmap!$J$5:$J$53,Roadmap!$B$5:$B$53,A7,Roadmap!$K$5:$K$53,"Terminé")</f>
        <v/>
      </c>
      <c r="H7" s="10">
        <f>IF(F7=0,0,G7/F7)</f>
        <v/>
      </c>
    </row>
    <row r="8">
      <c r="A8" s="4" t="inlineStr">
        <is>
          <t>J3</t>
        </is>
      </c>
      <c r="B8" s="5" t="n">
        <v>46316</v>
      </c>
      <c r="C8" s="4">
        <f>COUNTIFS(Roadmap!$B$5:$B$53,A8)</f>
        <v/>
      </c>
      <c r="D8" s="4">
        <f>COUNTIFS(Roadmap!$B$5:$B$53,A8,Roadmap!$K$5:$K$53,"Terminé")</f>
        <v/>
      </c>
      <c r="E8" s="4">
        <f>COUNTIFS(Roadmap!$B$5:$B$53,A8,Roadmap!$K$5:$K$53,"Bloqué")</f>
        <v/>
      </c>
      <c r="F8" s="7">
        <f>SUMIFS(Roadmap!$J$5:$J$53,Roadmap!$B$5:$B$53,A8)</f>
        <v/>
      </c>
      <c r="G8" s="7">
        <f>SUMIFS(Roadmap!$J$5:$J$53,Roadmap!$B$5:$B$53,A8,Roadmap!$K$5:$K$53,"Terminé")</f>
        <v/>
      </c>
      <c r="H8" s="10">
        <f>IF(F8=0,0,G8/F8)</f>
        <v/>
      </c>
    </row>
    <row r="9">
      <c r="A9" s="4" t="inlineStr">
        <is>
          <t>J4</t>
        </is>
      </c>
      <c r="B9" s="5" t="n">
        <v>46317</v>
      </c>
      <c r="C9" s="4">
        <f>COUNTIFS(Roadmap!$B$5:$B$53,A9)</f>
        <v/>
      </c>
      <c r="D9" s="4">
        <f>COUNTIFS(Roadmap!$B$5:$B$53,A9,Roadmap!$K$5:$K$53,"Terminé")</f>
        <v/>
      </c>
      <c r="E9" s="4">
        <f>COUNTIFS(Roadmap!$B$5:$B$53,A9,Roadmap!$K$5:$K$53,"Bloqué")</f>
        <v/>
      </c>
      <c r="F9" s="7">
        <f>SUMIFS(Roadmap!$J$5:$J$53,Roadmap!$B$5:$B$53,A9)</f>
        <v/>
      </c>
      <c r="G9" s="7">
        <f>SUMIFS(Roadmap!$J$5:$J$53,Roadmap!$B$5:$B$53,A9,Roadmap!$K$5:$K$53,"Terminé")</f>
        <v/>
      </c>
      <c r="H9" s="10">
        <f>IF(F9=0,0,G9/F9)</f>
        <v/>
      </c>
    </row>
    <row r="10">
      <c r="A10" s="4" t="inlineStr">
        <is>
          <t>J5</t>
        </is>
      </c>
      <c r="B10" s="5" t="n">
        <v>46318</v>
      </c>
      <c r="C10" s="4">
        <f>COUNTIFS(Roadmap!$B$5:$B$53,A10)</f>
        <v/>
      </c>
      <c r="D10" s="4">
        <f>COUNTIFS(Roadmap!$B$5:$B$53,A10,Roadmap!$K$5:$K$53,"Terminé")</f>
        <v/>
      </c>
      <c r="E10" s="4">
        <f>COUNTIFS(Roadmap!$B$5:$B$53,A10,Roadmap!$K$5:$K$53,"Bloqué")</f>
        <v/>
      </c>
      <c r="F10" s="7">
        <f>SUMIFS(Roadmap!$J$5:$J$53,Roadmap!$B$5:$B$53,A10)</f>
        <v/>
      </c>
      <c r="G10" s="7">
        <f>SUMIFS(Roadmap!$J$5:$J$53,Roadmap!$B$5:$B$53,A10,Roadmap!$K$5:$K$53,"Terminé")</f>
        <v/>
      </c>
      <c r="H10" s="10">
        <f>IF(F10=0,0,G10/F10)</f>
        <v/>
      </c>
    </row>
    <row r="11">
      <c r="A11" s="4" t="inlineStr">
        <is>
          <t>J6</t>
        </is>
      </c>
      <c r="B11" s="5" t="n">
        <v>46319</v>
      </c>
      <c r="C11" s="4">
        <f>COUNTIFS(Roadmap!$B$5:$B$53,A11)</f>
        <v/>
      </c>
      <c r="D11" s="4">
        <f>COUNTIFS(Roadmap!$B$5:$B$53,A11,Roadmap!$K$5:$K$53,"Terminé")</f>
        <v/>
      </c>
      <c r="E11" s="4">
        <f>COUNTIFS(Roadmap!$B$5:$B$53,A11,Roadmap!$K$5:$K$53,"Bloqué")</f>
        <v/>
      </c>
      <c r="F11" s="7">
        <f>SUMIFS(Roadmap!$J$5:$J$53,Roadmap!$B$5:$B$53,A11)</f>
        <v/>
      </c>
      <c r="G11" s="7">
        <f>SUMIFS(Roadmap!$J$5:$J$53,Roadmap!$B$5:$B$53,A11,Roadmap!$K$5:$K$53,"Terminé")</f>
        <v/>
      </c>
      <c r="H11" s="10">
        <f>IF(F11=0,0,G11/F11)</f>
        <v/>
      </c>
    </row>
    <row r="12">
      <c r="A12" s="4" t="inlineStr">
        <is>
          <t>J7</t>
        </is>
      </c>
      <c r="B12" s="5" t="n">
        <v>46320</v>
      </c>
      <c r="C12" s="4">
        <f>COUNTIFS(Roadmap!$B$5:$B$53,A12)</f>
        <v/>
      </c>
      <c r="D12" s="4">
        <f>COUNTIFS(Roadmap!$B$5:$B$53,A12,Roadmap!$K$5:$K$53,"Terminé")</f>
        <v/>
      </c>
      <c r="E12" s="4">
        <f>COUNTIFS(Roadmap!$B$5:$B$53,A12,Roadmap!$K$5:$K$53,"Bloqué")</f>
        <v/>
      </c>
      <c r="F12" s="7">
        <f>SUMIFS(Roadmap!$J$5:$J$53,Roadmap!$B$5:$B$53,A12)</f>
        <v/>
      </c>
      <c r="G12" s="7">
        <f>SUMIFS(Roadmap!$J$5:$J$53,Roadmap!$B$5:$B$53,A12,Roadmap!$K$5:$K$53,"Terminé")</f>
        <v/>
      </c>
      <c r="H12" s="10">
        <f>IF(F12=0,0,G12/F12)</f>
        <v/>
      </c>
    </row>
    <row r="13">
      <c r="A13" s="11" t="inlineStr">
        <is>
          <t>Total</t>
        </is>
      </c>
      <c r="B13" s="11" t="n"/>
      <c r="C13" s="11">
        <f>SUM(C5:C12)</f>
        <v/>
      </c>
      <c r="D13" s="11">
        <f>SUM(D5:D12)</f>
        <v/>
      </c>
      <c r="E13" s="11">
        <f>SUM(E5:E12)</f>
        <v/>
      </c>
      <c r="F13" s="12">
        <f>SUM(F5:F12)</f>
        <v/>
      </c>
      <c r="G13" s="12">
        <f>SUM(G5:G12)</f>
        <v/>
      </c>
      <c r="H13" s="13">
        <f>IF(F13=0,0,G13/F13)</f>
        <v/>
      </c>
    </row>
    <row r="15">
      <c r="A15" s="14" t="inlineStr">
        <is>
          <t>Par développeur</t>
        </is>
      </c>
    </row>
    <row r="16" ht="30" customHeight="1">
      <c r="A16" s="3" t="inlineStr">
        <is>
          <t>Dev</t>
        </is>
      </c>
      <c r="B16" s="3" t="inlineStr"/>
      <c r="C16" s="3" t="inlineStr">
        <is>
          <t>Tâches</t>
        </is>
      </c>
      <c r="D16" s="3" t="inlineStr">
        <is>
          <t>Terminées</t>
        </is>
      </c>
      <c r="E16" s="3" t="inlineStr">
        <is>
          <t>Bloquées</t>
        </is>
      </c>
      <c r="F16" s="3" t="inlineStr">
        <is>
          <t>Heures prévues</t>
        </is>
      </c>
      <c r="G16" s="3" t="inlineStr">
        <is>
          <t>Heures faites</t>
        </is>
      </c>
      <c r="H16" s="3" t="inlineStr">
        <is>
          <t>Avancement</t>
        </is>
      </c>
    </row>
    <row r="17">
      <c r="A17" s="4" t="inlineStr">
        <is>
          <t>Dev A</t>
        </is>
      </c>
      <c r="B17" s="4" t="n"/>
      <c r="C17" s="4">
        <f>COUNTIFS(Roadmap!$D$5:$D$53,A17)</f>
        <v/>
      </c>
      <c r="D17" s="4">
        <f>COUNTIFS(Roadmap!$D$5:$D$53,A17,Roadmap!$K$5:$K$53,"Terminé")</f>
        <v/>
      </c>
      <c r="E17" s="4">
        <f>COUNTIFS(Roadmap!$D$5:$D$53,A17,Roadmap!$K$5:$K$53,"Bloqué")</f>
        <v/>
      </c>
      <c r="F17" s="7">
        <f>SUMIFS(Roadmap!$J$5:$J$53,Roadmap!$D$5:$D$53,A17)</f>
        <v/>
      </c>
      <c r="G17" s="7">
        <f>SUMIFS(Roadmap!$J$5:$J$53,Roadmap!$D$5:$D$53,A17,Roadmap!$K$5:$K$53,"Terminé")</f>
        <v/>
      </c>
      <c r="H17" s="10">
        <f>IF(F17=0,0,G17/F17)</f>
        <v/>
      </c>
    </row>
    <row r="18">
      <c r="A18" s="4" t="inlineStr">
        <is>
          <t>Dev B</t>
        </is>
      </c>
      <c r="B18" s="4" t="n"/>
      <c r="C18" s="4">
        <f>COUNTIFS(Roadmap!$D$5:$D$53,A18)</f>
        <v/>
      </c>
      <c r="D18" s="4">
        <f>COUNTIFS(Roadmap!$D$5:$D$53,A18,Roadmap!$K$5:$K$53,"Terminé")</f>
        <v/>
      </c>
      <c r="E18" s="4">
        <f>COUNTIFS(Roadmap!$D$5:$D$53,A18,Roadmap!$K$5:$K$53,"Bloqué")</f>
        <v/>
      </c>
      <c r="F18" s="7">
        <f>SUMIFS(Roadmap!$J$5:$J$53,Roadmap!$D$5:$D$53,A18)</f>
        <v/>
      </c>
      <c r="G18" s="7">
        <f>SUMIFS(Roadmap!$J$5:$J$53,Roadmap!$D$5:$D$53,A18,Roadmap!$K$5:$K$53,"Terminé")</f>
        <v/>
      </c>
      <c r="H18" s="10">
        <f>IF(F18=0,0,G18/F18)</f>
        <v/>
      </c>
    </row>
    <row r="19">
      <c r="A19" s="4" t="inlineStr">
        <is>
          <t>A + B</t>
        </is>
      </c>
      <c r="B19" s="4" t="n"/>
      <c r="C19" s="4">
        <f>COUNTIFS(Roadmap!$D$5:$D$53,A19)</f>
        <v/>
      </c>
      <c r="D19" s="4">
        <f>COUNTIFS(Roadmap!$D$5:$D$53,A19,Roadmap!$K$5:$K$53,"Terminé")</f>
        <v/>
      </c>
      <c r="E19" s="4">
        <f>COUNTIFS(Roadmap!$D$5:$D$53,A19,Roadmap!$K$5:$K$53,"Bloqué")</f>
        <v/>
      </c>
      <c r="F19" s="7">
        <f>SUMIFS(Roadmap!$J$5:$J$53,Roadmap!$D$5:$D$53,A19)</f>
        <v/>
      </c>
      <c r="G19" s="7">
        <f>SUMIFS(Roadmap!$J$5:$J$53,Roadmap!$D$5:$D$53,A19,Roadmap!$K$5:$K$53,"Terminé")</f>
        <v/>
      </c>
      <c r="H19" s="10">
        <f>IF(F19=0,0,G19/F19)</f>
        <v/>
      </c>
    </row>
    <row r="21">
      <c r="A21" s="2" t="inlineStr">
        <is>
          <t>« A + B » = tâches faites à deux (environnement, tests croisés). Estimations en heures de travail d'un développeur, à ajuster chaque soir.</t>
        </is>
      </c>
    </row>
  </sheetData>
  <conditionalFormatting sqref="H5:H13">
    <cfRule type="dataBar" priority="1">
      <dataBar>
        <cfvo type="num" val="0"/>
        <cfvo type="num" val="1"/>
        <color rgb="005B9BD5"/>
      </dataBar>
    </cfRule>
  </conditionalFormatting>
  <conditionalFormatting sqref="H17:H19">
    <cfRule type="dataBar" priority="2">
      <dataBar>
        <cfvo type="num" val="0"/>
        <cfvo type="num" val="1"/>
        <color rgb="005B9BD5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>
      <c r="A1" s="1" t="inlineStr">
        <is>
          <t>Hors périmètre de la semaine</t>
        </is>
      </c>
    </row>
    <row r="3" ht="30" customHeight="1">
      <c r="A3" s="3" t="inlineStr">
        <is>
          <t>Élément</t>
        </is>
      </c>
      <c r="B3" s="3" t="inlineStr">
        <is>
          <t>Raison</t>
        </is>
      </c>
      <c r="C3" s="15" t="inlineStr"/>
    </row>
    <row r="4">
      <c r="A4" s="6" t="inlineStr">
        <is>
          <t>Paiement et livraison</t>
        </is>
      </c>
      <c r="B4" s="6" t="inlineStr">
        <is>
          <t>Reportés volontairement : partenaires en discussion. L'app affiche les commandes « en attente de paiement ».</t>
        </is>
      </c>
    </row>
    <row r="5">
      <c r="A5" s="6" t="inlineStr">
        <is>
          <t>Back-office admin</t>
        </is>
      </c>
      <c r="B5" s="6" t="inlineStr">
        <is>
          <t>Routes /admin/* (stats, utilisateurs, vendeurs, signalements, KYC, rôles, audit) : à faire en web, plus tard.</t>
        </is>
      </c>
    </row>
    <row r="6">
      <c r="A6" s="6" t="inlineStr">
        <is>
          <t>Connexion Google / Apple</t>
        </is>
      </c>
      <c r="B6" s="6" t="inlineStr">
        <is>
          <t>Aucune route backend (modèle IdentiteExterne inutilisé). Décision produit à prendre.</t>
        </is>
      </c>
    </row>
    <row r="7">
      <c r="A7" s="6" t="inlineStr">
        <is>
          <t>iOS</t>
        </is>
      </c>
      <c r="B7" s="6" t="inlineStr">
        <is>
          <t>Nécessite un Mac pour compiler et tester. Cette semaine : Android uniquement.</t>
        </is>
      </c>
    </row>
    <row r="10">
      <c r="A10" s="1" t="inlineStr">
        <is>
          <t>Risques</t>
        </is>
      </c>
    </row>
    <row r="11" ht="30" customHeight="1">
      <c r="A11" s="3" t="inlineStr">
        <is>
          <t>Risque</t>
        </is>
      </c>
      <c r="B11" s="3" t="inlineStr">
        <is>
          <t>Impact</t>
        </is>
      </c>
      <c r="C11" s="3" t="inlineStr">
        <is>
          <t>Parade</t>
        </is>
      </c>
    </row>
    <row r="12">
      <c r="A12" s="6" t="inlineStr">
        <is>
          <t>Le socle de J1 prend du retard</t>
        </is>
      </c>
      <c r="B12" s="6" t="inlineStr">
        <is>
          <t>Tout le reste en dépend.</t>
        </is>
      </c>
      <c r="C12" s="6" t="inlineStr">
        <is>
          <t>Dev A ne fait que le socle le lundi ; Dev B construit l'UI de l'auth sur des données factices et branche l'API en fin de journée.</t>
        </is>
      </c>
    </row>
    <row r="13">
      <c r="A13" s="6" t="inlineStr">
        <is>
          <t>Réponses absentes de la doc OpenAPI</t>
        </is>
      </c>
      <c r="B13" s="6" t="inlineStr">
        <is>
          <t>Pas de génération automatique du client Dart.</t>
        </is>
      </c>
      <c r="C13" s="6" t="inlineStr">
        <is>
          <t>Modèles freezed écrits à la main en lisant les services ; une personne par module.</t>
        </is>
      </c>
    </row>
    <row r="14">
      <c r="A14" s="6" t="inlineStr">
        <is>
          <t>Upload signé utilisé à 5 endroits</t>
        </is>
      </c>
      <c r="B14" s="6" t="inlineStr">
        <is>
          <t>Code dupliqué et bugs multipliés.</t>
        </is>
      </c>
      <c r="C14" s="6" t="inlineStr">
        <is>
          <t>Un seul service d'upload (J3, Dev A), réutilisé partout.</t>
        </is>
      </c>
    </row>
    <row r="15">
      <c r="A15" s="6" t="inlineStr">
        <is>
          <t>Projet Firebase pas prêt</t>
        </is>
      </c>
      <c r="B15" s="6" t="inlineStr">
        <is>
          <t>Push bloqué à J6.</t>
        </is>
      </c>
      <c r="C15" s="6" t="inlineStr">
        <is>
          <t>Le créer dès J0 ; sinon décaler le push après la semaine (P1).</t>
        </is>
      </c>
    </row>
    <row r="16">
      <c r="A16" s="6" t="inlineStr">
        <is>
          <t>Conflits Git entre les deux devs</t>
        </is>
      </c>
      <c r="B16" s="6" t="inlineStr">
        <is>
          <t>Temps perdu en fusions.</t>
        </is>
      </c>
      <c r="C16" s="6" t="inlineStr">
        <is>
          <t>Une branche par module, PR courtes et relues dans la journée ; core/ modifié uniquement par Dev A en J1.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Choix techniques</t>
        </is>
      </c>
    </row>
    <row r="3" ht="30" customHeight="1">
      <c r="A3" s="3" t="inlineStr">
        <is>
          <t>Besoin</t>
        </is>
      </c>
      <c r="B3" s="3" t="inlineStr">
        <is>
          <t>Choix</t>
        </is>
      </c>
    </row>
    <row r="4">
      <c r="A4" s="6" t="inlineStr">
        <is>
          <t>État</t>
        </is>
      </c>
      <c r="B4" s="6" t="inlineStr">
        <is>
          <t>flutter_riverpod</t>
        </is>
      </c>
    </row>
    <row r="5">
      <c r="A5" s="6" t="inlineStr">
        <is>
          <t>Navigation</t>
        </is>
      </c>
      <c r="B5" s="6" t="inlineStr">
        <is>
          <t>go_router</t>
        </is>
      </c>
    </row>
    <row r="6">
      <c r="A6" s="6" t="inlineStr">
        <is>
          <t>HTTP</t>
        </is>
      </c>
      <c r="B6" s="6" t="inlineStr">
        <is>
          <t>dio (intercepteurs refresh + Idempotency-Key)</t>
        </is>
      </c>
    </row>
    <row r="7">
      <c r="A7" s="6" t="inlineStr">
        <is>
          <t>Modèles</t>
        </is>
      </c>
      <c r="B7" s="6" t="inlineStr">
        <is>
          <t>freezed + json_serializable</t>
        </is>
      </c>
    </row>
    <row r="8">
      <c r="A8" s="6" t="inlineStr">
        <is>
          <t>Jetons</t>
        </is>
      </c>
      <c r="B8" s="6" t="inlineStr">
        <is>
          <t>flutter_secure_storage</t>
        </is>
      </c>
    </row>
    <row r="9">
      <c r="A9" s="6" t="inlineStr">
        <is>
          <t>Images</t>
        </is>
      </c>
      <c r="B9" s="6" t="inlineStr">
        <is>
          <t>image_picker, cached_network_image</t>
        </is>
      </c>
    </row>
    <row r="10">
      <c r="A10" s="6" t="inlineStr">
        <is>
          <t>Vidéo / stories</t>
        </is>
      </c>
      <c r="B10" s="6" t="inlineStr">
        <is>
          <t>video_player</t>
        </is>
      </c>
    </row>
    <row r="11">
      <c r="A11" s="6" t="inlineStr">
        <is>
          <t>Temps réel</t>
        </is>
      </c>
      <c r="B11" s="6" t="inlineStr">
        <is>
          <t>socket_io_client (namespace /temps-reel)</t>
        </is>
      </c>
    </row>
    <row r="12">
      <c r="A12" s="6" t="inlineStr">
        <is>
          <t>Push</t>
        </is>
      </c>
      <c r="B12" s="6" t="inlineStr">
        <is>
          <t>firebase_core, firebase_messaging</t>
        </is>
      </c>
    </row>
    <row r="13">
      <c r="A13" s="6" t="inlineStr">
        <is>
          <t>URL API (émulateur Android)</t>
        </is>
      </c>
      <c r="B13" s="6" t="inlineStr">
        <is>
          <t>http://10.0.2.2:&lt;PORT&gt;/v1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2026-10-18T19:20:13Z</dcterms:created>
  <dcterms:modified xsi:type="dcterms:W3CDTF">2026-10-18T19:20:13Z</dcterms:modified>
</cp:coreProperties>
</file>